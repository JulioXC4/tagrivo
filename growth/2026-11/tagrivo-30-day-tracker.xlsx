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ef99bd8c6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as" sheetId="1" r:id="R4d2531c1adc04953"/>
    <x:sheet xmlns:r="http://schemas.openxmlformats.org/officeDocument/2006/relationships" name="Calendario" sheetId="2" r:id="R9b84aa5b178a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$#,##0.00;[Red]($#,##0.00)"/>
  </x:numFmts>
  <x:fonts count="6">
    <x:font>
      <x:sz val="11"/>
      <x:name val="Carlito"/>
    </x:font>
    <x:font>
      <x:sz val="11"/>
      <x:color rgb="FF173E31"/>
      <x:name val="Arial"/>
    </x:font>
    <x:font>
      <x:b/>
      <x:sz val="16"/>
      <x:color rgb="FF185642"/>
      <x:name val="Arial"/>
    </x:font>
    <x:font>
      <x:sz val="11"/>
      <x:color rgb="FF59635E"/>
      <x:name val="Arial"/>
    </x:font>
    <x:font>
      <x:b/>
      <x:sz val="11"/>
      <x:color rgb="FF173E3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5D8"/>
      </x:patternFill>
    </x:fill>
    <x:fill>
      <x:patternFill patternType="solid">
        <x:fgColor rgb="FFEDF2EB"/>
      </x:patternFill>
    </x:fill>
    <x:fill>
      <x:patternFill patternType="solid">
        <x:fgColor rgb="FF185642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CA18C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1" fillId="2" borderId="0" xfId="0" applyNumberFormat="1" applyFont="1" applyFill="1" applyBorder="1"/>
    <x:xf numFmtId="202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476ec56f7459a" /><Relationship Type="http://schemas.openxmlformats.org/officeDocument/2006/relationships/theme" Target="/xl/theme/theme1.xml" Id="Rb07be30a19e94111" /><Relationship Type="http://schemas.openxmlformats.org/officeDocument/2006/relationships/sharedStrings" Target="/xl/sharedStrings.xml" Id="R63c82a3e80374b8c" /><Relationship Type="http://schemas.openxmlformats.org/officeDocument/2006/relationships/worksheet" Target="/xl/worksheets/sheet1.xml" Id="R4d2531c1adc04953" /><Relationship Type="http://schemas.openxmlformats.org/officeDocument/2006/relationships/worksheet" Target="/xl/worksheets/sheet2.xml" Id="R9b84aa5b178a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564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7" max="17" width="18.1299991607666" hidden="0" customWidth="1"/>
    <x:col min="18" max="18" width="18.1299991607666" hidden="0" customWidth="1"/>
    <x:col min="1" max="1" width="19.3799991607666" hidden="0" customWidth="1"/>
    <x:col min="2" max="2" width="15" hidden="0" customWidth="1"/>
    <x:col min="3" max="3" width="15" hidden="0" customWidth="1"/>
    <x:col min="4" max="4" width="10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30.6299991607666" hidden="0" customWidth="1"/>
    <x:col min="14" max="14" width="3.130000114440918" hidden="0" customWidth="1"/>
    <x:col min="15" max="15" width="11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0.25" customHeight="1">
      <x:c r="A2" s="2" t="str">
        <x:v>Tagrivo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20" t="str">
        <x:v>Lectura y fuentes</x:v>
      </x:c>
    </x:row>
    <x:row r="3" ht="20.25" customHeight="1">
      <x:c r="A3" s="1" t="str">
        <x:v>30 dias | datos reales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21" t="str">
        <x:v>Amarillo: entrada manual. Verde suave: formula. No hay metas ni resultados inventados.</x:v>
      </x:c>
    </x:row>
    <x:row r="4" ht="20.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21" t="str">
        <x:v>GSC: filtrar United States y Web; fechas de Search Console en Pacific Time.</x:v>
      </x:c>
    </x:row>
    <x:row r="5" ht="20.25" customHeight="1">
      <x:c r="A5" s="1" t="str">
        <x:v>Fecha del informe</x:v>
      </x:c>
      <x:c r="B5" s="1" t="str">
        <x:v>GSC</x:v>
      </x:c>
      <x:c r="C5" s="1" t="str">
        <x:v>GSC</x:v>
      </x:c>
      <x:c r="D5" s="1" t="str">
        <x:v>Calculado</x:v>
      </x:c>
      <x:c r="E5" s="1" t="str">
        <x:v>GA4</x:v>
      </x:c>
      <x:c r="F5" s="1" t="str">
        <x:v>GA4</x:v>
      </x:c>
      <x:c r="G5" s="1" t="str">
        <x:v>Amazon</x:v>
      </x:c>
      <x:c r="H5" s="1" t="str">
        <x:v>Amazon</x:v>
      </x:c>
      <x:c r="I5" s="1" t="str">
        <x:v>Amazon</x:v>
      </x:c>
      <x:c r="J5" s="1" t="str">
        <x:v>GA4</x:v>
      </x:c>
      <x:c r="K5" s="1" t="str">
        <x:v>GA4</x:v>
      </x:c>
      <x:c r="L5" s="1" t="str">
        <x:v>GA4</x:v>
      </x:c>
      <x:c r="M5" s="1" t="str">
        <x:v>Contexto</x:v>
      </x:c>
      <x:c r="N5" s="1"/>
      <x:c r="O5" s="21" t="str">
        <x:v>GA4: sesiones, no usuarios; confirmar la zona horaria configurada en la propiedad.</x:v>
      </x:c>
    </x:row>
    <x:row r="6" ht="39" customHeight="1">
      <x:c r="A6" s="26" t="str">
        <x:v>Fecha</x:v>
      </x:c>
      <x:c r="B6" s="26" t="str">
        <x:v>Impresiones US</x:v>
      </x:c>
      <x:c r="C6" s="26" t="str">
        <x:v>Clics organicos US</x:v>
      </x:c>
      <x:c r="D6" s="26" t="str">
        <x:v>CTR</x:v>
      </x:c>
      <x:c r="E6" s="26" t="str">
        <x:v>Sesiones</x:v>
      </x:c>
      <x:c r="F6" s="26" t="str">
        <x:v>Clics Amazon (GA4)</x:v>
      </x:c>
      <x:c r="G6" s="26" t="str">
        <x:v>Clics informe Amazon</x:v>
      </x:c>
      <x:c r="H6" s="26" t="str">
        <x:v>Articulos pedidos</x:v>
      </x:c>
      <x:c r="I6" s="26" t="str">
        <x:v>Comisiones USD</x:v>
      </x:c>
      <x:c r="J6" s="26" t="str">
        <x:v>Finder completo</x:v>
      </x:c>
      <x:c r="K6" s="26" t="str">
        <x:v>Comparador usado</x:v>
      </x:c>
      <x:c r="L6" s="26" t="str">
        <x:v>Calculadora usada</x:v>
      </x:c>
      <x:c r="M6" s="26" t="str">
        <x:v>Notas / ajustes</x:v>
      </x:c>
      <x:c r="N6" s="1"/>
      <x:c r="O6" s="21" t="str">
        <x:v>GA4 solo mide visitas consentidas; bloqueo y referrer suprimido causan submedicion.</x:v>
      </x:c>
      <x:c r="Q6" s="13" t="str">
        <x:v>CTR paired impressions</x:v>
      </x:c>
      <x:c r="R6" s="13" t="str">
        <x:v>CTR paired clicks</x:v>
      </x:c>
    </x:row>
    <x:row r="7" ht="20.25" customHeight="1">
      <x:c r="A7" s="3" t="d">
        <x:v>2026-11-02T00:00:00.000Z</x:v>
      </x:c>
      <x:c r="B7" s="7"/>
      <x:c r="C7" s="7"/>
      <x:c r="D7" s="10" t="str">
        <x:f>IF(AND(ISNUMBER(B7),ISNUMBER(C7),B7&gt;0),C7/B7,"")</x:f>
      </x:c>
      <x:c r="E7" s="7"/>
      <x:c r="F7" s="7"/>
      <x:c r="G7" s="7"/>
      <x:c r="H7" s="7"/>
      <x:c r="I7" s="8"/>
      <x:c r="J7" s="7"/>
      <x:c r="K7" s="7"/>
      <x:c r="L7" s="7"/>
      <x:c r="M7" s="9"/>
      <x:c r="N7" s="1"/>
      <x:c r="O7" s="21" t="str">
        <x:v>Amazon: conservar fechas y definiciones de su informe; clics no equivalen a GA4.</x:v>
      </x:c>
      <x:c r="Q7" s="13" t="n">
        <x:f>IF(AND(ISNUMBER(B7),ISNUMBER(C7)),B7,0)</x:f>
        <x:v>0</x:v>
      </x:c>
      <x:c r="R7" s="13" t="n">
        <x:f>IF(AND(ISNUMBER(B7),ISNUMBER(C7)),C7,0)</x:f>
        <x:v>0</x:v>
      </x:c>
    </x:row>
    <x:row r="8" ht="20.25" customHeight="1">
      <x:c r="A8" s="3" t="d">
        <x:v>2026-11-03T00:00:00.000Z</x:v>
      </x:c>
      <x:c r="B8" s="7"/>
      <x:c r="C8" s="7"/>
      <x:c r="D8" s="10" t="str">
        <x:f>IF(AND(ISNUMBER(B8),ISNUMBER(C8),B8&gt;0),C8/B8,"")</x:f>
      </x:c>
      <x:c r="E8" s="7"/>
      <x:c r="F8" s="7"/>
      <x:c r="G8" s="7"/>
      <x:c r="H8" s="7"/>
      <x:c r="I8" s="8"/>
      <x:c r="J8" s="7"/>
      <x:c r="K8" s="7"/>
      <x:c r="L8" s="7"/>
      <x:c r="M8" s="9"/>
      <x:c r="N8" s="1"/>
      <x:c r="O8" s="21" t="str">
        <x:v>Articulos pedidos no son compradores unicos; comisiones pueden ajustarse/devolverse.</x:v>
      </x:c>
      <x:c r="Q8" s="13" t="n">
        <x:f>IF(AND(ISNUMBER(B8),ISNUMBER(C8)),B8,0)</x:f>
        <x:v>0</x:v>
      </x:c>
      <x:c r="R8" s="13" t="n">
        <x:f>IF(AND(ISNUMBER(B8),ISNUMBER(C8)),C8,0)</x:f>
        <x:v>0</x:v>
      </x:c>
    </x:row>
    <x:row r="9" ht="20.25" customHeight="1">
      <x:c r="A9" s="3" t="d">
        <x:v>2026-11-04T00:00:00.000Z</x:v>
      </x:c>
      <x:c r="B9" s="7"/>
      <x:c r="C9" s="7"/>
      <x:c r="D9" s="10" t="str">
        <x:f>IF(AND(ISNUMBER(B9),ISNUMBER(C9),B9&gt;0),C9/B9,"")</x:f>
      </x:c>
      <x:c r="E9" s="7"/>
      <x:c r="F9" s="7"/>
      <x:c r="G9" s="7"/>
      <x:c r="H9" s="7"/>
      <x:c r="I9" s="8"/>
      <x:c r="J9" s="7"/>
      <x:c r="K9" s="7"/>
      <x:c r="L9" s="7"/>
      <x:c r="M9" s="9"/>
      <x:c r="N9" s="1"/>
      <x:c r="O9" s="21" t="str">
        <x:v>CTR total ponderado solo con filas que contienen impresiones y clics numericos.</x:v>
      </x:c>
      <x:c r="Q9" s="13" t="n">
        <x:f>IF(AND(ISNUMBER(B9),ISNUMBER(C9)),B9,0)</x:f>
        <x:v>0</x:v>
      </x:c>
      <x:c r="R9" s="13" t="n">
        <x:f>IF(AND(ISNUMBER(B9),ISNUMBER(C9)),C9,0)</x:f>
        <x:v>0</x:v>
      </x:c>
    </x:row>
    <x:row r="10" ht="20.25" customHeight="1">
      <x:c r="A10" s="3" t="d">
        <x:v>2026-11-05T00:00:00.000Z</x:v>
      </x:c>
      <x:c r="B10" s="7"/>
      <x:c r="C10" s="7"/>
      <x:c r="D10" s="10" t="str">
        <x:f>IF(AND(ISNUMBER(B10),ISNUMBER(C10),B10&gt;0),C10/B10,"")</x:f>
      </x:c>
      <x:c r="E10" s="7"/>
      <x:c r="F10" s="7"/>
      <x:c r="G10" s="7"/>
      <x:c r="H10" s="7"/>
      <x:c r="I10" s="8"/>
      <x:c r="J10" s="7"/>
      <x:c r="K10" s="7"/>
      <x:c r="L10" s="7"/>
      <x:c r="M10" s="9"/>
      <x:c r="N10" s="1"/>
      <x:c r="O10" s="21" t="str">
        <x:v>No atribuir un pedido de Amazon a una persona o sesion GA4 con estos datos.</x:v>
      </x:c>
      <x:c r="Q10" s="13" t="n">
        <x:f>IF(AND(ISNUMBER(B10),ISNUMBER(C10)),B10,0)</x:f>
        <x:v>0</x:v>
      </x:c>
      <x:c r="R10" s="13" t="n">
        <x:f>IF(AND(ISNUMBER(B10),ISNUMBER(C10)),C10,0)</x:f>
        <x:v>0</x:v>
      </x:c>
    </x:row>
    <x:row r="11" ht="20.25" customHeight="1">
      <x:c r="A11" s="3" t="d">
        <x:v>2026-11-06T00:00:00.000Z</x:v>
      </x:c>
      <x:c r="B11" s="7"/>
      <x:c r="C11" s="7"/>
      <x:c r="D11" s="10" t="str">
        <x:f>IF(AND(ISNUMBER(B11),ISNUMBER(C11),B11&gt;0),C11/B11,"")</x:f>
      </x:c>
      <x:c r="E11" s="7"/>
      <x:c r="F11" s="7"/>
      <x:c r="G11" s="7"/>
      <x:c r="H11" s="7"/>
      <x:c r="I11" s="8"/>
      <x:c r="J11" s="7"/>
      <x:c r="K11" s="7"/>
      <x:c r="L11" s="7"/>
      <x:c r="M11" s="9"/>
      <x:c r="N11" s="1"/>
      <x:c r="O11" s="21" t="str">
        <x:v>Fuentes: search.google.com/search-console | analytics.google.com | affiliate-program.amazon.com</x:v>
      </x:c>
      <x:c r="Q11" s="13" t="n">
        <x:f>IF(AND(ISNUMBER(B11),ISNUMBER(C11)),B11,0)</x:f>
        <x:v>0</x:v>
      </x:c>
      <x:c r="R11" s="13" t="n">
        <x:f>IF(AND(ISNUMBER(B11),ISNUMBER(C11)),C11,0)</x:f>
        <x:v>0</x:v>
      </x:c>
    </x:row>
    <x:row r="12" ht="20.25" customHeight="1">
      <x:c r="A12" s="3" t="d">
        <x:v>2026-11-07T00:00:00.000Z</x:v>
      </x:c>
      <x:c r="B12" s="7"/>
      <x:c r="C12" s="7"/>
      <x:c r="D12" s="10" t="str">
        <x:f>IF(AND(ISNUMBER(B12),ISNUMBER(C12),B12&gt;0),C12/B12,"")</x:f>
      </x:c>
      <x:c r="E12" s="7"/>
      <x:c r="F12" s="7"/>
      <x:c r="G12" s="7"/>
      <x:c r="H12" s="7"/>
      <x:c r="I12" s="8"/>
      <x:c r="J12" s="7"/>
      <x:c r="K12" s="7"/>
      <x:c r="L12" s="7"/>
      <x:c r="M12" s="9"/>
      <x:c r="N12" s="1"/>
      <x:c r="O12" s="21" t="str">
        <x:v>Eventos: printer_finder_complete | comparison_used | cost_calculator_used | amazon_affiliate_click</x:v>
      </x:c>
      <x:c r="Q12" s="13" t="n">
        <x:f>IF(AND(ISNUMBER(B12),ISNUMBER(C12)),B12,0)</x:f>
        <x:v>0</x:v>
      </x:c>
      <x:c r="R12" s="13" t="n">
        <x:f>IF(AND(ISNUMBER(B12),ISNUMBER(C12)),C12,0)</x:f>
        <x:v>0</x:v>
      </x:c>
    </x:row>
    <x:row r="13" ht="20.25" customHeight="1">
      <x:c r="A13" s="3" t="d">
        <x:v>2026-11-08T00:00:00.000Z</x:v>
      </x:c>
      <x:c r="B13" s="7"/>
      <x:c r="C13" s="7"/>
      <x:c r="D13" s="10" t="str">
        <x:f>IF(AND(ISNUMBER(B13),ISNUMBER(C13),B13&gt;0),C13/B13,"")</x:f>
      </x:c>
      <x:c r="E13" s="7"/>
      <x:c r="F13" s="7"/>
      <x:c r="G13" s="7"/>
      <x:c r="H13" s="7"/>
      <x:c r="I13" s="8"/>
      <x:c r="J13" s="7"/>
      <x:c r="K13" s="7"/>
      <x:c r="L13" s="7"/>
      <x:c r="M13" s="9"/>
      <x:c r="N13" s="1"/>
      <x:c r="O13" s="1"/>
      <x:c r="Q13" s="13" t="n">
        <x:f>IF(AND(ISNUMBER(B13),ISNUMBER(C13)),B13,0)</x:f>
        <x:v>0</x:v>
      </x:c>
      <x:c r="R13" s="13" t="n">
        <x:f>IF(AND(ISNUMBER(B13),ISNUMBER(C13)),C13,0)</x:f>
        <x:v>0</x:v>
      </x:c>
    </x:row>
    <x:row r="14" ht="20.25" customHeight="1">
      <x:c r="A14" s="3" t="d">
        <x:v>2026-11-09T00:00:00.000Z</x:v>
      </x:c>
      <x:c r="B14" s="7"/>
      <x:c r="C14" s="7"/>
      <x:c r="D14" s="10" t="str">
        <x:f>IF(AND(ISNUMBER(B14),ISNUMBER(C14),B14&gt;0),C14/B14,"")</x:f>
      </x:c>
      <x:c r="E14" s="7"/>
      <x:c r="F14" s="7"/>
      <x:c r="G14" s="7"/>
      <x:c r="H14" s="7"/>
      <x:c r="I14" s="8"/>
      <x:c r="J14" s="7"/>
      <x:c r="K14" s="7"/>
      <x:c r="L14" s="7"/>
      <x:c r="M14" s="9"/>
      <x:c r="N14" s="1"/>
      <x:c r="O14" s="1"/>
      <x:c r="Q14" s="13" t="n">
        <x:f>IF(AND(ISNUMBER(B14),ISNUMBER(C14)),B14,0)</x:f>
        <x:v>0</x:v>
      </x:c>
      <x:c r="R14" s="13" t="n">
        <x:f>IF(AND(ISNUMBER(B14),ISNUMBER(C14)),C14,0)</x:f>
        <x:v>0</x:v>
      </x:c>
    </x:row>
    <x:row r="15" ht="20.25" customHeight="1">
      <x:c r="A15" s="3" t="d">
        <x:v>2026-11-10T00:00:00.000Z</x:v>
      </x:c>
      <x:c r="B15" s="7"/>
      <x:c r="C15" s="7"/>
      <x:c r="D15" s="10" t="str">
        <x:f>IF(AND(ISNUMBER(B15),ISNUMBER(C15),B15&gt;0),C15/B15,"")</x:f>
      </x:c>
      <x:c r="E15" s="7"/>
      <x:c r="F15" s="7"/>
      <x:c r="G15" s="7"/>
      <x:c r="H15" s="7"/>
      <x:c r="I15" s="8"/>
      <x:c r="J15" s="7"/>
      <x:c r="K15" s="7"/>
      <x:c r="L15" s="7"/>
      <x:c r="M15" s="9"/>
      <x:c r="N15" s="1"/>
      <x:c r="O15" s="1"/>
      <x:c r="Q15" s="13" t="n">
        <x:f>IF(AND(ISNUMBER(B15),ISNUMBER(C15)),B15,0)</x:f>
        <x:v>0</x:v>
      </x:c>
      <x:c r="R15" s="13" t="n">
        <x:f>IF(AND(ISNUMBER(B15),ISNUMBER(C15)),C15,0)</x:f>
        <x:v>0</x:v>
      </x:c>
    </x:row>
    <x:row r="16" ht="20.25" customHeight="1">
      <x:c r="A16" s="3" t="d">
        <x:v>2026-11-11T00:00:00.000Z</x:v>
      </x:c>
      <x:c r="B16" s="7"/>
      <x:c r="C16" s="7"/>
      <x:c r="D16" s="10" t="str">
        <x:f>IF(AND(ISNUMBER(B16),ISNUMBER(C16),B16&gt;0),C16/B16,"")</x:f>
      </x:c>
      <x:c r="E16" s="7"/>
      <x:c r="F16" s="7"/>
      <x:c r="G16" s="7"/>
      <x:c r="H16" s="7"/>
      <x:c r="I16" s="8"/>
      <x:c r="J16" s="7"/>
      <x:c r="K16" s="7"/>
      <x:c r="L16" s="7"/>
      <x:c r="M16" s="9"/>
      <x:c r="N16" s="1"/>
      <x:c r="O16" s="1"/>
      <x:c r="Q16" s="13" t="n">
        <x:f>IF(AND(ISNUMBER(B16),ISNUMBER(C16)),B16,0)</x:f>
        <x:v>0</x:v>
      </x:c>
      <x:c r="R16" s="13" t="n">
        <x:f>IF(AND(ISNUMBER(B16),ISNUMBER(C16)),C16,0)</x:f>
        <x:v>0</x:v>
      </x:c>
    </x:row>
    <x:row r="17" ht="20.25" customHeight="1">
      <x:c r="A17" s="3" t="d">
        <x:v>2026-11-12T00:00:00.000Z</x:v>
      </x:c>
      <x:c r="B17" s="7"/>
      <x:c r="C17" s="7"/>
      <x:c r="D17" s="10" t="str">
        <x:f>IF(AND(ISNUMBER(B17),ISNUMBER(C17),B17&gt;0),C17/B17,"")</x:f>
      </x:c>
      <x:c r="E17" s="7"/>
      <x:c r="F17" s="7"/>
      <x:c r="G17" s="7"/>
      <x:c r="H17" s="7"/>
      <x:c r="I17" s="8"/>
      <x:c r="J17" s="7"/>
      <x:c r="K17" s="7"/>
      <x:c r="L17" s="7"/>
      <x:c r="M17" s="9"/>
      <x:c r="N17" s="1"/>
      <x:c r="O17" s="1"/>
      <x:c r="Q17" s="13" t="n">
        <x:f>IF(AND(ISNUMBER(B17),ISNUMBER(C17)),B17,0)</x:f>
        <x:v>0</x:v>
      </x:c>
      <x:c r="R17" s="13" t="n">
        <x:f>IF(AND(ISNUMBER(B17),ISNUMBER(C17)),C17,0)</x:f>
        <x:v>0</x:v>
      </x:c>
    </x:row>
    <x:row r="18" ht="20.25" customHeight="1">
      <x:c r="A18" s="3" t="d">
        <x:v>2026-11-13T00:00:00.000Z</x:v>
      </x:c>
      <x:c r="B18" s="7"/>
      <x:c r="C18" s="7"/>
      <x:c r="D18" s="10" t="str">
        <x:f>IF(AND(ISNUMBER(B18),ISNUMBER(C18),B18&gt;0),C18/B18,"")</x:f>
      </x:c>
      <x:c r="E18" s="7"/>
      <x:c r="F18" s="7"/>
      <x:c r="G18" s="7"/>
      <x:c r="H18" s="7"/>
      <x:c r="I18" s="8"/>
      <x:c r="J18" s="7"/>
      <x:c r="K18" s="7"/>
      <x:c r="L18" s="7"/>
      <x:c r="M18" s="9"/>
      <x:c r="N18" s="1"/>
      <x:c r="O18" s="1"/>
      <x:c r="Q18" s="13" t="n">
        <x:f>IF(AND(ISNUMBER(B18),ISNUMBER(C18)),B18,0)</x:f>
        <x:v>0</x:v>
      </x:c>
      <x:c r="R18" s="13" t="n">
        <x:f>IF(AND(ISNUMBER(B18),ISNUMBER(C18)),C18,0)</x:f>
        <x:v>0</x:v>
      </x:c>
    </x:row>
    <x:row r="19" ht="20.25" customHeight="1">
      <x:c r="A19" s="3" t="d">
        <x:v>2026-11-14T00:00:00.000Z</x:v>
      </x:c>
      <x:c r="B19" s="7"/>
      <x:c r="C19" s="7"/>
      <x:c r="D19" s="10" t="str">
        <x:f>IF(AND(ISNUMBER(B19),ISNUMBER(C19),B19&gt;0),C19/B19,"")</x:f>
      </x:c>
      <x:c r="E19" s="7"/>
      <x:c r="F19" s="7"/>
      <x:c r="G19" s="7"/>
      <x:c r="H19" s="7"/>
      <x:c r="I19" s="8"/>
      <x:c r="J19" s="7"/>
      <x:c r="K19" s="7"/>
      <x:c r="L19" s="7"/>
      <x:c r="M19" s="9"/>
      <x:c r="N19" s="1"/>
      <x:c r="O19" s="1"/>
      <x:c r="Q19" s="13" t="n">
        <x:f>IF(AND(ISNUMBER(B19),ISNUMBER(C19)),B19,0)</x:f>
        <x:v>0</x:v>
      </x:c>
      <x:c r="R19" s="13" t="n">
        <x:f>IF(AND(ISNUMBER(B19),ISNUMBER(C19)),C19,0)</x:f>
        <x:v>0</x:v>
      </x:c>
    </x:row>
    <x:row r="20" ht="20.25" customHeight="1">
      <x:c r="A20" s="3" t="d">
        <x:v>2026-11-15T00:00:00.000Z</x:v>
      </x:c>
      <x:c r="B20" s="7"/>
      <x:c r="C20" s="7"/>
      <x:c r="D20" s="10" t="str">
        <x:f>IF(AND(ISNUMBER(B20),ISNUMBER(C20),B20&gt;0),C20/B20,"")</x:f>
      </x:c>
      <x:c r="E20" s="7"/>
      <x:c r="F20" s="7"/>
      <x:c r="G20" s="7"/>
      <x:c r="H20" s="7"/>
      <x:c r="I20" s="8"/>
      <x:c r="J20" s="7"/>
      <x:c r="K20" s="7"/>
      <x:c r="L20" s="7"/>
      <x:c r="M20" s="9"/>
      <x:c r="N20" s="1"/>
      <x:c r="O20" s="1"/>
      <x:c r="Q20" s="13" t="n">
        <x:f>IF(AND(ISNUMBER(B20),ISNUMBER(C20)),B20,0)</x:f>
        <x:v>0</x:v>
      </x:c>
      <x:c r="R20" s="13" t="n">
        <x:f>IF(AND(ISNUMBER(B20),ISNUMBER(C20)),C20,0)</x:f>
        <x:v>0</x:v>
      </x:c>
    </x:row>
    <x:row r="21" ht="20.25" customHeight="1">
      <x:c r="A21" s="3" t="d">
        <x:v>2026-11-16T00:00:00.000Z</x:v>
      </x:c>
      <x:c r="B21" s="7"/>
      <x:c r="C21" s="7"/>
      <x:c r="D21" s="10" t="str">
        <x:f>IF(AND(ISNUMBER(B21),ISNUMBER(C21),B21&gt;0),C21/B21,"")</x:f>
      </x:c>
      <x:c r="E21" s="7"/>
      <x:c r="F21" s="7"/>
      <x:c r="G21" s="7"/>
      <x:c r="H21" s="7"/>
      <x:c r="I21" s="8"/>
      <x:c r="J21" s="7"/>
      <x:c r="K21" s="7"/>
      <x:c r="L21" s="7"/>
      <x:c r="M21" s="9"/>
      <x:c r="N21" s="1"/>
      <x:c r="O21" s="1"/>
      <x:c r="Q21" s="13" t="n">
        <x:f>IF(AND(ISNUMBER(B21),ISNUMBER(C21)),B21,0)</x:f>
        <x:v>0</x:v>
      </x:c>
      <x:c r="R21" s="13" t="n">
        <x:f>IF(AND(ISNUMBER(B21),ISNUMBER(C21)),C21,0)</x:f>
        <x:v>0</x:v>
      </x:c>
    </x:row>
    <x:row r="22" ht="20.25" customHeight="1">
      <x:c r="A22" s="3" t="d">
        <x:v>2026-11-17T00:00:00.000Z</x:v>
      </x:c>
      <x:c r="B22" s="7"/>
      <x:c r="C22" s="7"/>
      <x:c r="D22" s="10" t="str">
        <x:f>IF(AND(ISNUMBER(B22),ISNUMBER(C22),B22&gt;0),C22/B22,"")</x:f>
      </x:c>
      <x:c r="E22" s="7"/>
      <x:c r="F22" s="7"/>
      <x:c r="G22" s="7"/>
      <x:c r="H22" s="7"/>
      <x:c r="I22" s="8"/>
      <x:c r="J22" s="7"/>
      <x:c r="K22" s="7"/>
      <x:c r="L22" s="7"/>
      <x:c r="M22" s="9"/>
      <x:c r="N22" s="1"/>
      <x:c r="O22" s="1"/>
      <x:c r="Q22" s="13" t="n">
        <x:f>IF(AND(ISNUMBER(B22),ISNUMBER(C22)),B22,0)</x:f>
        <x:v>0</x:v>
      </x:c>
      <x:c r="R22" s="13" t="n">
        <x:f>IF(AND(ISNUMBER(B22),ISNUMBER(C22)),C22,0)</x:f>
        <x:v>0</x:v>
      </x:c>
    </x:row>
    <x:row r="23" ht="20.25" customHeight="1">
      <x:c r="A23" s="3" t="d">
        <x:v>2026-11-18T00:00:00.000Z</x:v>
      </x:c>
      <x:c r="B23" s="7"/>
      <x:c r="C23" s="7"/>
      <x:c r="D23" s="10" t="str">
        <x:f>IF(AND(ISNUMBER(B23),ISNUMBER(C23),B23&gt;0),C23/B23,"")</x:f>
      </x:c>
      <x:c r="E23" s="7"/>
      <x:c r="F23" s="7"/>
      <x:c r="G23" s="7"/>
      <x:c r="H23" s="7"/>
      <x:c r="I23" s="8"/>
      <x:c r="J23" s="7"/>
      <x:c r="K23" s="7"/>
      <x:c r="L23" s="7"/>
      <x:c r="M23" s="9"/>
      <x:c r="N23" s="1"/>
      <x:c r="O23" s="1"/>
      <x:c r="Q23" s="13" t="n">
        <x:f>IF(AND(ISNUMBER(B23),ISNUMBER(C23)),B23,0)</x:f>
        <x:v>0</x:v>
      </x:c>
      <x:c r="R23" s="13" t="n">
        <x:f>IF(AND(ISNUMBER(B23),ISNUMBER(C23)),C23,0)</x:f>
        <x:v>0</x:v>
      </x:c>
    </x:row>
    <x:row r="24" ht="20.25" customHeight="1">
      <x:c r="A24" s="3" t="d">
        <x:v>2026-11-19T00:00:00.000Z</x:v>
      </x:c>
      <x:c r="B24" s="7"/>
      <x:c r="C24" s="7"/>
      <x:c r="D24" s="10" t="str">
        <x:f>IF(AND(ISNUMBER(B24),ISNUMBER(C24),B24&gt;0),C24/B24,"")</x:f>
      </x:c>
      <x:c r="E24" s="7"/>
      <x:c r="F24" s="7"/>
      <x:c r="G24" s="7"/>
      <x:c r="H24" s="7"/>
      <x:c r="I24" s="8"/>
      <x:c r="J24" s="7"/>
      <x:c r="K24" s="7"/>
      <x:c r="L24" s="7"/>
      <x:c r="M24" s="9"/>
      <x:c r="N24" s="1"/>
      <x:c r="O24" s="1"/>
      <x:c r="Q24" s="13" t="n">
        <x:f>IF(AND(ISNUMBER(B24),ISNUMBER(C24)),B24,0)</x:f>
        <x:v>0</x:v>
      </x:c>
      <x:c r="R24" s="13" t="n">
        <x:f>IF(AND(ISNUMBER(B24),ISNUMBER(C24)),C24,0)</x:f>
        <x:v>0</x:v>
      </x:c>
    </x:row>
    <x:row r="25" ht="20.25" customHeight="1">
      <x:c r="A25" s="3" t="d">
        <x:v>2026-11-20T00:00:00.000Z</x:v>
      </x:c>
      <x:c r="B25" s="7"/>
      <x:c r="C25" s="7"/>
      <x:c r="D25" s="10" t="str">
        <x:f>IF(AND(ISNUMBER(B25),ISNUMBER(C25),B25&gt;0),C25/B25,"")</x:f>
      </x:c>
      <x:c r="E25" s="7"/>
      <x:c r="F25" s="7"/>
      <x:c r="G25" s="7"/>
      <x:c r="H25" s="7"/>
      <x:c r="I25" s="8"/>
      <x:c r="J25" s="7"/>
      <x:c r="K25" s="7"/>
      <x:c r="L25" s="7"/>
      <x:c r="M25" s="9"/>
      <x:c r="N25" s="1"/>
      <x:c r="O25" s="1"/>
      <x:c r="Q25" s="13" t="n">
        <x:f>IF(AND(ISNUMBER(B25),ISNUMBER(C25)),B25,0)</x:f>
        <x:v>0</x:v>
      </x:c>
      <x:c r="R25" s="13" t="n">
        <x:f>IF(AND(ISNUMBER(B25),ISNUMBER(C25)),C25,0)</x:f>
        <x:v>0</x:v>
      </x:c>
    </x:row>
    <x:row r="26" ht="20.25" customHeight="1">
      <x:c r="A26" s="3" t="d">
        <x:v>2026-11-21T00:00:00.000Z</x:v>
      </x:c>
      <x:c r="B26" s="7"/>
      <x:c r="C26" s="7"/>
      <x:c r="D26" s="10" t="str">
        <x:f>IF(AND(ISNUMBER(B26),ISNUMBER(C26),B26&gt;0),C26/B26,"")</x:f>
      </x:c>
      <x:c r="E26" s="7"/>
      <x:c r="F26" s="7"/>
      <x:c r="G26" s="7"/>
      <x:c r="H26" s="7"/>
      <x:c r="I26" s="8"/>
      <x:c r="J26" s="7"/>
      <x:c r="K26" s="7"/>
      <x:c r="L26" s="7"/>
      <x:c r="M26" s="9"/>
      <x:c r="N26" s="1"/>
      <x:c r="O26" s="1"/>
      <x:c r="Q26" s="13" t="n">
        <x:f>IF(AND(ISNUMBER(B26),ISNUMBER(C26)),B26,0)</x:f>
        <x:v>0</x:v>
      </x:c>
      <x:c r="R26" s="13" t="n">
        <x:f>IF(AND(ISNUMBER(B26),ISNUMBER(C26)),C26,0)</x:f>
        <x:v>0</x:v>
      </x:c>
    </x:row>
    <x:row r="27" ht="20.25" customHeight="1">
      <x:c r="A27" s="3" t="d">
        <x:v>2026-11-22T00:00:00.000Z</x:v>
      </x:c>
      <x:c r="B27" s="7"/>
      <x:c r="C27" s="7"/>
      <x:c r="D27" s="10" t="str">
        <x:f>IF(AND(ISNUMBER(B27),ISNUMBER(C27),B27&gt;0),C27/B27,"")</x:f>
      </x:c>
      <x:c r="E27" s="7"/>
      <x:c r="F27" s="7"/>
      <x:c r="G27" s="7"/>
      <x:c r="H27" s="7"/>
      <x:c r="I27" s="8"/>
      <x:c r="J27" s="7"/>
      <x:c r="K27" s="7"/>
      <x:c r="L27" s="7"/>
      <x:c r="M27" s="9"/>
      <x:c r="N27" s="1"/>
      <x:c r="O27" s="1"/>
      <x:c r="Q27" s="13" t="n">
        <x:f>IF(AND(ISNUMBER(B27),ISNUMBER(C27)),B27,0)</x:f>
        <x:v>0</x:v>
      </x:c>
      <x:c r="R27" s="13" t="n">
        <x:f>IF(AND(ISNUMBER(B27),ISNUMBER(C27)),C27,0)</x:f>
        <x:v>0</x:v>
      </x:c>
    </x:row>
    <x:row r="28" ht="20.25" customHeight="1">
      <x:c r="A28" s="3" t="d">
        <x:v>2026-11-23T00:00:00.000Z</x:v>
      </x:c>
      <x:c r="B28" s="7"/>
      <x:c r="C28" s="7"/>
      <x:c r="D28" s="10" t="str">
        <x:f>IF(AND(ISNUMBER(B28),ISNUMBER(C28),B28&gt;0),C28/B28,"")</x:f>
      </x:c>
      <x:c r="E28" s="7"/>
      <x:c r="F28" s="7"/>
      <x:c r="G28" s="7"/>
      <x:c r="H28" s="7"/>
      <x:c r="I28" s="8"/>
      <x:c r="J28" s="7"/>
      <x:c r="K28" s="7"/>
      <x:c r="L28" s="7"/>
      <x:c r="M28" s="9"/>
      <x:c r="N28" s="1"/>
      <x:c r="O28" s="1"/>
      <x:c r="Q28" s="13" t="n">
        <x:f>IF(AND(ISNUMBER(B28),ISNUMBER(C28)),B28,0)</x:f>
        <x:v>0</x:v>
      </x:c>
      <x:c r="R28" s="13" t="n">
        <x:f>IF(AND(ISNUMBER(B28),ISNUMBER(C28)),C28,0)</x:f>
        <x:v>0</x:v>
      </x:c>
    </x:row>
    <x:row r="29" ht="20.25" customHeight="1">
      <x:c r="A29" s="3" t="d">
        <x:v>2026-11-24T00:00:00.000Z</x:v>
      </x:c>
      <x:c r="B29" s="7"/>
      <x:c r="C29" s="7"/>
      <x:c r="D29" s="10" t="str">
        <x:f>IF(AND(ISNUMBER(B29),ISNUMBER(C29),B29&gt;0),C29/B29,"")</x:f>
      </x:c>
      <x:c r="E29" s="7"/>
      <x:c r="F29" s="7"/>
      <x:c r="G29" s="7"/>
      <x:c r="H29" s="7"/>
      <x:c r="I29" s="8"/>
      <x:c r="J29" s="7"/>
      <x:c r="K29" s="7"/>
      <x:c r="L29" s="7"/>
      <x:c r="M29" s="9"/>
      <x:c r="N29" s="1"/>
      <x:c r="O29" s="1"/>
      <x:c r="Q29" s="13" t="n">
        <x:f>IF(AND(ISNUMBER(B29),ISNUMBER(C29)),B29,0)</x:f>
        <x:v>0</x:v>
      </x:c>
      <x:c r="R29" s="13" t="n">
        <x:f>IF(AND(ISNUMBER(B29),ISNUMBER(C29)),C29,0)</x:f>
        <x:v>0</x:v>
      </x:c>
    </x:row>
    <x:row r="30" ht="20.25" customHeight="1">
      <x:c r="A30" s="3" t="d">
        <x:v>2026-11-25T00:00:00.000Z</x:v>
      </x:c>
      <x:c r="B30" s="7"/>
      <x:c r="C30" s="7"/>
      <x:c r="D30" s="10" t="str">
        <x:f>IF(AND(ISNUMBER(B30),ISNUMBER(C30),B30&gt;0),C30/B30,"")</x:f>
      </x:c>
      <x:c r="E30" s="7"/>
      <x:c r="F30" s="7"/>
      <x:c r="G30" s="7"/>
      <x:c r="H30" s="7"/>
      <x:c r="I30" s="8"/>
      <x:c r="J30" s="7"/>
      <x:c r="K30" s="7"/>
      <x:c r="L30" s="7"/>
      <x:c r="M30" s="9"/>
      <x:c r="N30" s="1"/>
      <x:c r="O30" s="1"/>
      <x:c r="Q30" s="13" t="n">
        <x:f>IF(AND(ISNUMBER(B30),ISNUMBER(C30)),B30,0)</x:f>
        <x:v>0</x:v>
      </x:c>
      <x:c r="R30" s="13" t="n">
        <x:f>IF(AND(ISNUMBER(B30),ISNUMBER(C30)),C30,0)</x:f>
        <x:v>0</x:v>
      </x:c>
    </x:row>
    <x:row r="31" ht="20.25" customHeight="1">
      <x:c r="A31" s="3" t="d">
        <x:v>2026-11-26T00:00:00.000Z</x:v>
      </x:c>
      <x:c r="B31" s="7"/>
      <x:c r="C31" s="7"/>
      <x:c r="D31" s="10" t="str">
        <x:f>IF(AND(ISNUMBER(B31),ISNUMBER(C31),B31&gt;0),C31/B31,"")</x:f>
      </x:c>
      <x:c r="E31" s="7"/>
      <x:c r="F31" s="7"/>
      <x:c r="G31" s="7"/>
      <x:c r="H31" s="7"/>
      <x:c r="I31" s="8"/>
      <x:c r="J31" s="7"/>
      <x:c r="K31" s="7"/>
      <x:c r="L31" s="7"/>
      <x:c r="M31" s="9"/>
      <x:c r="N31" s="1"/>
      <x:c r="O31" s="1"/>
      <x:c r="Q31" s="13" t="n">
        <x:f>IF(AND(ISNUMBER(B31),ISNUMBER(C31)),B31,0)</x:f>
        <x:v>0</x:v>
      </x:c>
      <x:c r="R31" s="13" t="n">
        <x:f>IF(AND(ISNUMBER(B31),ISNUMBER(C31)),C31,0)</x:f>
        <x:v>0</x:v>
      </x:c>
    </x:row>
    <x:row r="32" ht="20.25" customHeight="1">
      <x:c r="A32" s="3" t="d">
        <x:v>2026-11-27T00:00:00.000Z</x:v>
      </x:c>
      <x:c r="B32" s="7"/>
      <x:c r="C32" s="7"/>
      <x:c r="D32" s="10" t="str">
        <x:f>IF(AND(ISNUMBER(B32),ISNUMBER(C32),B32&gt;0),C32/B32,"")</x:f>
      </x:c>
      <x:c r="E32" s="7"/>
      <x:c r="F32" s="7"/>
      <x:c r="G32" s="7"/>
      <x:c r="H32" s="7"/>
      <x:c r="I32" s="8"/>
      <x:c r="J32" s="7"/>
      <x:c r="K32" s="7"/>
      <x:c r="L32" s="7"/>
      <x:c r="M32" s="9"/>
      <x:c r="N32" s="1"/>
      <x:c r="O32" s="1"/>
      <x:c r="Q32" s="13" t="n">
        <x:f>IF(AND(ISNUMBER(B32),ISNUMBER(C32)),B32,0)</x:f>
        <x:v>0</x:v>
      </x:c>
      <x:c r="R32" s="13" t="n">
        <x:f>IF(AND(ISNUMBER(B32),ISNUMBER(C32)),C32,0)</x:f>
        <x:v>0</x:v>
      </x:c>
    </x:row>
    <x:row r="33" ht="20.25" customHeight="1">
      <x:c r="A33" s="3" t="d">
        <x:v>2026-11-28T00:00:00.000Z</x:v>
      </x:c>
      <x:c r="B33" s="7"/>
      <x:c r="C33" s="7"/>
      <x:c r="D33" s="10" t="str">
        <x:f>IF(AND(ISNUMBER(B33),ISNUMBER(C33),B33&gt;0),C33/B33,"")</x:f>
      </x:c>
      <x:c r="E33" s="7"/>
      <x:c r="F33" s="7"/>
      <x:c r="G33" s="7"/>
      <x:c r="H33" s="7"/>
      <x:c r="I33" s="8"/>
      <x:c r="J33" s="7"/>
      <x:c r="K33" s="7"/>
      <x:c r="L33" s="7"/>
      <x:c r="M33" s="9"/>
      <x:c r="N33" s="1"/>
      <x:c r="O33" s="1"/>
      <x:c r="Q33" s="13" t="n">
        <x:f>IF(AND(ISNUMBER(B33),ISNUMBER(C33)),B33,0)</x:f>
        <x:v>0</x:v>
      </x:c>
      <x:c r="R33" s="13" t="n">
        <x:f>IF(AND(ISNUMBER(B33),ISNUMBER(C33)),C33,0)</x:f>
        <x:v>0</x:v>
      </x:c>
    </x:row>
    <x:row r="34" ht="20.25" customHeight="1">
      <x:c r="A34" s="3" t="d">
        <x:v>2026-11-29T00:00:00.000Z</x:v>
      </x:c>
      <x:c r="B34" s="7"/>
      <x:c r="C34" s="7"/>
      <x:c r="D34" s="10" t="str">
        <x:f>IF(AND(ISNUMBER(B34),ISNUMBER(C34),B34&gt;0),C34/B34,"")</x:f>
      </x:c>
      <x:c r="E34" s="7"/>
      <x:c r="F34" s="7"/>
      <x:c r="G34" s="7"/>
      <x:c r="H34" s="7"/>
      <x:c r="I34" s="8"/>
      <x:c r="J34" s="7"/>
      <x:c r="K34" s="7"/>
      <x:c r="L34" s="7"/>
      <x:c r="M34" s="9"/>
      <x:c r="N34" s="1"/>
      <x:c r="O34" s="1"/>
      <x:c r="Q34" s="13" t="n">
        <x:f>IF(AND(ISNUMBER(B34),ISNUMBER(C34)),B34,0)</x:f>
        <x:v>0</x:v>
      </x:c>
      <x:c r="R34" s="13" t="n">
        <x:f>IF(AND(ISNUMBER(B34),ISNUMBER(C34)),C34,0)</x:f>
        <x:v>0</x:v>
      </x:c>
    </x:row>
    <x:row r="35" ht="20.25" customHeight="1">
      <x:c r="A35" s="3" t="d">
        <x:v>2026-11-30T00:00:00.000Z</x:v>
      </x:c>
      <x:c r="B35" s="7"/>
      <x:c r="C35" s="7"/>
      <x:c r="D35" s="10" t="str">
        <x:f>IF(AND(ISNUMBER(B35),ISNUMBER(C35),B35&gt;0),C35/B35,"")</x:f>
      </x:c>
      <x:c r="E35" s="7"/>
      <x:c r="F35" s="7"/>
      <x:c r="G35" s="7"/>
      <x:c r="H35" s="7"/>
      <x:c r="I35" s="8"/>
      <x:c r="J35" s="7"/>
      <x:c r="K35" s="7"/>
      <x:c r="L35" s="7"/>
      <x:c r="M35" s="9"/>
      <x:c r="N35" s="1"/>
      <x:c r="O35" s="1"/>
      <x:c r="Q35" s="13" t="n">
        <x:f>IF(AND(ISNUMBER(B35),ISNUMBER(C35)),B35,0)</x:f>
        <x:v>0</x:v>
      </x:c>
      <x:c r="R35" s="13" t="n">
        <x:f>IF(AND(ISNUMBER(B35),ISNUMBER(C35)),C35,0)</x:f>
        <x:v>0</x:v>
      </x:c>
    </x:row>
    <x:row r="36" ht="20.25" customHeight="1">
      <x:c r="A36" s="3" t="d">
        <x:v>2026-12-01T00:00:00.000Z</x:v>
      </x:c>
      <x:c r="B36" s="7"/>
      <x:c r="C36" s="7"/>
      <x:c r="D36" s="10" t="str">
        <x:f>IF(AND(ISNUMBER(B36),ISNUMBER(C36),B36&gt;0),C36/B36,"")</x:f>
      </x:c>
      <x:c r="E36" s="7"/>
      <x:c r="F36" s="7"/>
      <x:c r="G36" s="7"/>
      <x:c r="H36" s="7"/>
      <x:c r="I36" s="8"/>
      <x:c r="J36" s="7"/>
      <x:c r="K36" s="7"/>
      <x:c r="L36" s="7"/>
      <x:c r="M36" s="9"/>
      <x:c r="N36" s="1"/>
      <x:c r="O36" s="1"/>
      <x:c r="Q36" s="13" t="n">
        <x:f>IF(AND(ISNUMBER(B36),ISNUMBER(C36)),B36,0)</x:f>
        <x:v>0</x:v>
      </x:c>
      <x:c r="R36" s="13" t="n">
        <x:f>IF(AND(ISNUMBER(B36),ISNUMBER(C36)),C36,0)</x:f>
        <x:v>0</x:v>
      </x:c>
    </x:row>
    <x:row r="37" ht="20.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0.25" customHeight="1">
      <x:c r="A38" s="17" t="str">
        <x:v>Totales registrados</x:v>
      </x:c>
      <x:c r="B38" s="17" t="str">
        <x:f>IF(COUNT(B7:B36)&gt;0,SUM(B7:B36),"")</x:f>
      </x:c>
      <x:c r="C38" s="17" t="str">
        <x:f>IF(COUNT(C7:C36)&gt;0,SUM(C7:C36),"")</x:f>
      </x:c>
      <x:c r="D38" s="18" t="str">
        <x:f>IFERROR(SUM(R7:R36)/SUM(Q7:Q36),"")</x:f>
      </x:c>
      <x:c r="E38" s="17" t="str">
        <x:f>IF(COUNT(E7:E36)&gt;0,SUM(E7:E36),"")</x:f>
      </x:c>
      <x:c r="F38" s="17" t="str">
        <x:f>IF(COUNT(F7:F36)&gt;0,SUM(F7:F36),"")</x:f>
      </x:c>
      <x:c r="G38" s="17" t="str">
        <x:f>IF(COUNT(G7:G36)&gt;0,SUM(G7:G36),"")</x:f>
      </x:c>
      <x:c r="H38" s="17" t="str">
        <x:f>IF(COUNT(H7:H36)&gt;0,SUM(H7:H36),"")</x:f>
      </x:c>
      <x:c r="I38" s="19" t="str">
        <x:f>IF(COUNT(I7:I36)&gt;0,SUM(I7:I36),"")</x:f>
      </x:c>
      <x:c r="J38" s="17" t="str">
        <x:f>IF(COUNT(J7:J36)&gt;0,SUM(J7:J36),"")</x:f>
      </x:c>
      <x:c r="K38" s="17" t="str">
        <x:f>IF(COUNT(K7:K36)&gt;0,SUM(K7:K36),"")</x:f>
      </x:c>
      <x:c r="L38" s="17" t="str">
        <x:f>IF(COUNT(L7:L36)&gt;0,SUM(L7:L36),"")</x:f>
      </x:c>
      <x:c r="M38" s="17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564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15" hidden="0" customWidth="1"/>
    <x:col min="3" max="3" width="15.630000114440918" hidden="0" customWidth="1"/>
    <x:col min="4" max="4" width="53.75" hidden="0" customWidth="1"/>
    <x:col min="5" max="5" width="22.5" hidden="0" customWidth="1"/>
    <x:col min="6" max="6" width="48.7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Tagrivo | Calendario de ejecucion</x:v>
      </x:c>
      <x:c r="B2" s="1"/>
      <x:c r="C2" s="1"/>
      <x:c r="D2" s="1"/>
      <x:c r="E2" s="1"/>
      <x:c r="F2" s="1"/>
    </x:row>
    <x:row r="3">
      <x:c r="A3" s="1" t="str">
        <x:v>Fechas propuestas; publicar manualmente solo despues de revisar contenido y reglas.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6" customHeight="1">
      <x:c r="A6" s="26" t="str">
        <x:v>Dia</x:v>
      </x:c>
      <x:c r="B6" s="26" t="str">
        <x:v>Fecha propuesta</x:v>
      </x:c>
      <x:c r="C6" s="26" t="str">
        <x:v>Tipo</x:v>
      </x:c>
      <x:c r="D6" s="26" t="str">
        <x:v>Accion</x:v>
      </x:c>
      <x:c r="E6" s="26" t="str">
        <x:v>Canal</x:v>
      </x:c>
      <x:c r="F6" s="26" t="str">
        <x:v>Comprobacion</x:v>
      </x:c>
    </x:row>
    <x:row r="7" ht="36" customHeight="1">
      <x:c r="A7" s="29" t="n">
        <x:v>1</x:v>
      </x:c>
      <x:c r="B7" s="30" t="d">
        <x:v>2026-11-02T00:00:00.000Z</x:v>
      </x:c>
      <x:c r="C7" s="29" t="str">
        <x:v>Medición</x:v>
      </x:c>
      <x:c r="D7" s="29" t="str">
        <x:v>Importar Tagrivo desde GSC a Bing; comprobar sitemap</x:v>
      </x:c>
      <x:c r="E7" s="29" t="str">
        <x:v>Bing</x:v>
      </x:c>
      <x:c r="F7" s="29" t="str">
        <x:v>Propiedad y sitemap aceptados, si el servicio los procesa</x:v>
      </x:c>
    </x:row>
    <x:row r="8" ht="36" customHeight="1">
      <x:c r="A8" s="29" t="n">
        <x:v>2</x:v>
      </x:c>
      <x:c r="B8" s="30" t="d">
        <x:v>2026-11-03T00:00:00.000Z</x:v>
      </x:c>
      <x:c r="C8" s="29" t="str">
        <x:v>Distribución</x:v>
      </x:c>
      <x:c r="D8" s="29" t="str">
        <x:v>Publicar Pin 01: comparación exacta</x:v>
      </x:c>
      <x:c r="E8" s="29" t="str">
        <x:v>Pinterest</x:v>
      </x:c>
      <x:c r="F8" s="29" t="str">
        <x:v>Registrar URL del Pin, no estimar visitas</x:v>
      </x:c>
    </x:row>
    <x:row r="9" ht="36" customHeight="1">
      <x:c r="A9" s="29" t="n">
        <x:v>3</x:v>
      </x:c>
      <x:c r="B9" s="30" t="d">
        <x:v>2026-11-04T00:00:00.000Z</x:v>
      </x:c>
      <x:c r="C9" s="29" t="str">
        <x:v>Calidad</x:v>
      </x:c>
      <x:c r="D9" s="29" t="str">
        <x:v>Revisar dudas/comentarios sin promocionar en comunidades</x:v>
      </x:c>
      <x:c r="E9" s="29" t="str">
        <x:v>Investigación</x:v>
      </x:c>
      <x:c r="F9" s="29" t="str">
        <x:v>Anotar una duda concreta y su fuente</x:v>
      </x:c>
    </x:row>
    <x:row r="10" ht="36" customHeight="1">
      <x:c r="A10" s="29" t="n">
        <x:v>4</x:v>
      </x:c>
      <x:c r="B10" s="30" t="d">
        <x:v>2026-11-05T00:00:00.000Z</x:v>
      </x:c>
      <x:c r="C10" s="29" t="str">
        <x:v>Distribución</x:v>
      </x:c>
      <x:c r="D10" s="29" t="str">
        <x:v>Publicar Pin 02: Mac y Windows</x:v>
      </x:c>
      <x:c r="E10" s="29" t="str">
        <x:v>Pinterest</x:v>
      </x:c>
      <x:c r="F10" s="29" t="str">
        <x:v>Comprobar destino y texto alternativo</x:v>
      </x:c>
    </x:row>
    <x:row r="11" ht="36" customHeight="1">
      <x:c r="A11" s="29" t="n">
        <x:v>5</x:v>
      </x:c>
      <x:c r="B11" s="30" t="d">
        <x:v>2026-11-06T00:00:00.000Z</x:v>
      </x:c>
      <x:c r="C11" s="29" t="str">
        <x:v>Video</x:v>
      </x:c>
      <x:c r="D11" s="29" t="str">
        <x:v>Grabar Short 01 con Finder y datos de ejemplo</x:v>
      </x:c>
      <x:c r="E11" s="29" t="str">
        <x:v>Producción local</x:v>
      </x:c>
      <x:c r="F11" s="29" t="str">
        <x:v>No mostrar paneles privados</x:v>
      </x:c>
    </x:row>
    <x:row r="12" ht="36" customHeight="1">
      <x:c r="A12" s="29" t="n">
        <x:v>6</x:v>
      </x:c>
      <x:c r="B12" s="30" t="d">
        <x:v>2026-11-07T00:00:00.000Z</x:v>
      </x:c>
      <x:c r="C12" s="29" t="str">
        <x:v>Medición</x:v>
      </x:c>
      <x:c r="D12" s="29" t="str">
        <x:v>Registrar GSC, GA4 y Amazon con sus zonas horarias</x:v>
      </x:c>
      <x:c r="E12" s="29" t="str">
        <x:v>Tracker</x:v>
      </x:c>
      <x:c r="F12" s="29" t="str">
        <x:v>Usar datos disponibles; dejar el resto vacío</x:v>
      </x:c>
    </x:row>
    <x:row r="13" ht="36" customHeight="1">
      <x:c r="A13" s="29" t="n">
        <x:v>7</x:v>
      </x:c>
      <x:c r="B13" s="30" t="d">
        <x:v>2026-11-08T00:00:00.000Z</x:v>
      </x:c>
      <x:c r="C13" s="29" t="str">
        <x:v>Revisión</x:v>
      </x:c>
      <x:c r="D13" s="29" t="str">
        <x:v>Revisar qué páginas reciben impresiones US</x:v>
      </x:c>
      <x:c r="E13" s="29" t="str">
        <x:v>GSC</x:v>
      </x:c>
      <x:c r="F13" s="29" t="str">
        <x:v>No interpretar un día como tendencia</x:v>
      </x:c>
    </x:row>
    <x:row r="14" ht="36" customHeight="1">
      <x:c r="A14" s="29" t="n">
        <x:v>8</x:v>
      </x:c>
      <x:c r="B14" s="30" t="d">
        <x:v>2026-11-09T00:00:00.000Z</x:v>
      </x:c>
      <x:c r="C14" s="29" t="str">
        <x:v>Distribución</x:v>
      </x:c>
      <x:c r="D14" s="29" t="str">
        <x:v>Publicar Pin 03: tamaño Etsy 4 × 6</x:v>
      </x:c>
      <x:c r="E14" s="29" t="str">
        <x:v>Pinterest</x:v>
      </x:c>
      <x:c r="F14" s="29" t="str">
        <x:v>No prometer compatibilidad de todos los carriers</x:v>
      </x:c>
    </x:row>
    <x:row r="15" ht="36" customHeight="1">
      <x:c r="A15" s="29" t="n">
        <x:v>9</x:v>
      </x:c>
      <x:c r="B15" s="30" t="d">
        <x:v>2026-11-10T00:00:00.000Z</x:v>
      </x:c>
      <x:c r="C15" s="29" t="str">
        <x:v>Distribución</x:v>
      </x:c>
      <x:c r="D15" s="29" t="str">
        <x:v>Publicar Short 01 si está revisado</x:v>
      </x:c>
      <x:c r="E15" s="29" t="str">
        <x:v>YouTube / Pinterest</x:v>
      </x:c>
      <x:c r="F15" s="29" t="str">
        <x:v>Usar campaña short_01</x:v>
      </x:c>
    </x:row>
    <x:row r="16" ht="36" customHeight="1">
      <x:c r="A16" s="29" t="n">
        <x:v>10</x:v>
      </x:c>
      <x:c r="B16" s="30" t="d">
        <x:v>2026-11-11T00:00:00.000Z</x:v>
      </x:c>
      <x:c r="C16" s="29" t="str">
        <x:v>Comunidad</x:v>
      </x:c>
      <x:c r="D16" s="29" t="str">
        <x:v>Leer hilo semanal vigente de r/Etsy y reglas</x:v>
      </x:c>
      <x:c r="E16" s="29" t="str">
        <x:v>Reddit</x:v>
      </x:c>
      <x:c r="F16" s="29" t="str">
        <x:v>Publicar presentación solo si está permitida</x:v>
      </x:c>
    </x:row>
    <x:row r="17" ht="36" customHeight="1">
      <x:c r="A17" s="29" t="n">
        <x:v>11</x:v>
      </x:c>
      <x:c r="B17" s="30" t="d">
        <x:v>2026-11-12T00:00:00.000Z</x:v>
      </x:c>
      <x:c r="C17" s="29" t="str">
        <x:v>Calidad</x:v>
      </x:c>
      <x:c r="D17" s="29" t="str">
        <x:v>Revisar consultas reales de ARM y Mac</x:v>
      </x:c>
      <x:c r="E17" s="29" t="str">
        <x:v>GSC / fuentes</x:v>
      </x:c>
      <x:c r="F17" s="29" t="str">
        <x:v>Anotar necesidades; no crear artículos por rutina</x:v>
      </x:c>
    </x:row>
    <x:row r="18" ht="36" customHeight="1">
      <x:c r="A18" s="29" t="n">
        <x:v>12</x:v>
      </x:c>
      <x:c r="B18" s="30" t="d">
        <x:v>2026-11-13T00:00:00.000Z</x:v>
      </x:c>
      <x:c r="C18" s="29" t="str">
        <x:v>Distribución</x:v>
      </x:c>
      <x:c r="D18" s="29" t="str">
        <x:v>Publicar Pin 04: conexiones</x:v>
      </x:c>
      <x:c r="E18" s="29" t="str">
        <x:v>Pinterest</x:v>
      </x:c>
      <x:c r="F18" s="29" t="str">
        <x:v>Comprobar UTMs y página de llegada</x:v>
      </x:c>
    </x:row>
    <x:row r="19" ht="36" customHeight="1">
      <x:c r="A19" s="29" t="n">
        <x:v>13</x:v>
      </x:c>
      <x:c r="B19" s="30" t="d">
        <x:v>2026-11-14T00:00:00.000Z</x:v>
      </x:c>
      <x:c r="C19" s="29" t="str">
        <x:v>Video</x:v>
      </x:c>
      <x:c r="D19" s="29" t="str">
        <x:v>Grabar Short 02: comparación de variantes</x:v>
      </x:c>
      <x:c r="E19" s="29" t="str">
        <x:v>Producción local</x:v>
      </x:c>
      <x:c r="F19" s="29" t="str">
        <x:v>Identificar renders editoriales en pantalla</x:v>
      </x:c>
    </x:row>
    <x:row r="20" ht="36" customHeight="1">
      <x:c r="A20" s="29" t="n">
        <x:v>14</x:v>
      </x:c>
      <x:c r="B20" s="30" t="d">
        <x:v>2026-11-15T00:00:00.000Z</x:v>
      </x:c>
      <x:c r="C20" s="29" t="str">
        <x:v>Revisión</x:v>
      </x:c>
      <x:c r="D20" s="29" t="str">
        <x:v>Registrar semana 2 y errores de rastreo</x:v>
      </x:c>
      <x:c r="E20" s="29" t="str">
        <x:v>Tracker / Bing / GSC</x:v>
      </x:c>
      <x:c r="F20" s="29" t="str">
        <x:v>Comparar periodos completos si existen</x:v>
      </x:c>
    </x:row>
    <x:row r="21" ht="36" customHeight="1">
      <x:c r="A21" s="29" t="n">
        <x:v>15</x:v>
      </x:c>
      <x:c r="B21" s="30" t="d">
        <x:v>2026-11-16T00:00:00.000Z</x:v>
      </x:c>
      <x:c r="C21" s="29" t="str">
        <x:v>Distribución</x:v>
      </x:c>
      <x:c r="D21" s="29" t="str">
        <x:v>Publicar Pin 05: costes</x:v>
      </x:c>
      <x:c r="E21" s="29" t="str">
        <x:v>Pinterest</x:v>
      </x:c>
      <x:c r="F21" s="29" t="str">
        <x:v>Valores de calculadora solo ilustrativos</x:v>
      </x:c>
    </x:row>
    <x:row r="22" ht="36" customHeight="1">
      <x:c r="A22" s="29" t="n">
        <x:v>16</x:v>
      </x:c>
      <x:c r="B22" s="30" t="d">
        <x:v>2026-11-17T00:00:00.000Z</x:v>
      </x:c>
      <x:c r="C22" s="29" t="str">
        <x:v>Distribución</x:v>
      </x:c>
      <x:c r="D22" s="29" t="str">
        <x:v>Publicar Short 02 si está revisado</x:v>
      </x:c>
      <x:c r="E22" s="29" t="str">
        <x:v>YouTube / Pinterest</x:v>
      </x:c>
      <x:c r="F22" s="29" t="str">
        <x:v>Usar campaña short_02</x:v>
      </x:c>
    </x:row>
    <x:row r="23" ht="36" customHeight="1">
      <x:c r="A23" s="29" t="n">
        <x:v>17</x:v>
      </x:c>
      <x:c r="B23" s="30" t="d">
        <x:v>2026-11-18T00:00:00.000Z</x:v>
      </x:c>
      <x:c r="C23" s="29" t="str">
        <x:v>Calidad</x:v>
      </x:c>
      <x:c r="D23" s="29" t="str">
        <x:v>Revisar clics y entradas a la comparación exacta</x:v>
      </x:c>
      <x:c r="E23" s="29" t="str">
        <x:v>GA4</x:v>
      </x:c>
      <x:c r="F23" s="29" t="str">
        <x:v>Solo medición consentida; no inferir ventas individuales</x:v>
      </x:c>
    </x:row>
    <x:row r="24" ht="36" customHeight="1">
      <x:c r="A24" s="29" t="n">
        <x:v>18</x:v>
      </x:c>
      <x:c r="B24" s="30" t="d">
        <x:v>2026-11-19T00:00:00.000Z</x:v>
      </x:c>
      <x:c r="C24" s="29" t="str">
        <x:v>Distribución</x:v>
      </x:c>
      <x:c r="D24" s="29" t="str">
        <x:v>Publicar Pin 06: Finder</x:v>
      </x:c>
      <x:c r="E24" s="29" t="str">
        <x:v>Pinterest</x:v>
      </x:c>
      <x:c r="F24" s="29" t="str">
        <x:v>No prometer un ganador universal</x:v>
      </x:c>
    </x:row>
    <x:row r="25" ht="36" customHeight="1">
      <x:c r="A25" s="29" t="n">
        <x:v>19</x:v>
      </x:c>
      <x:c r="B25" s="30" t="d">
        <x:v>2026-11-20T00:00:00.000Z</x:v>
      </x:c>
      <x:c r="C25" s="29" t="str">
        <x:v>Comunidad</x:v>
      </x:c>
      <x:c r="D25" s="29" t="str">
        <x:v>Ayudar con una respuesta propia si las reglas lo permiten</x:v>
      </x:c>
      <x:c r="E25" s="29" t="str">
        <x:v>Comunidad</x:v>
      </x:c>
      <x:c r="F25" s="29" t="str">
        <x:v>Sin enlaces de Tagrivo donde estén prohibidos</x:v>
      </x:c>
    </x:row>
    <x:row r="26" ht="36" customHeight="1">
      <x:c r="A26" s="29" t="n">
        <x:v>20</x:v>
      </x:c>
      <x:c r="B26" s="30" t="d">
        <x:v>2026-11-21T00:00:00.000Z</x:v>
      </x:c>
      <x:c r="C26" s="29" t="str">
        <x:v>Video</x:v>
      </x:c>
      <x:c r="D26" s="29" t="str">
        <x:v>Grabar Short 03: calculadora</x:v>
      </x:c>
      <x:c r="E26" s="29" t="str">
        <x:v>Producción local</x:v>
      </x:c>
      <x:c r="F26" s="29" t="str">
        <x:v>Mostrar cotizaciones de ejemplo identificadas</x:v>
      </x:c>
    </x:row>
    <x:row r="27" ht="36" customHeight="1">
      <x:c r="A27" s="29" t="n">
        <x:v>21</x:v>
      </x:c>
      <x:c r="B27" s="30" t="d">
        <x:v>2026-11-22T00:00:00.000Z</x:v>
      </x:c>
      <x:c r="C27" s="29" t="str">
        <x:v>Revisión</x:v>
      </x:c>
      <x:c r="D27" s="29" t="str">
        <x:v>Registrar semana 3 y preguntas de compra</x:v>
      </x:c>
      <x:c r="E27" s="29" t="str">
        <x:v>Tracker</x:v>
      </x:c>
      <x:c r="F27" s="29" t="str">
        <x:v>Distinguir clics GA4 y clics Amazon</x:v>
      </x:c>
    </x:row>
    <x:row r="28" ht="36" customHeight="1">
      <x:c r="A28" s="29" t="n">
        <x:v>22</x:v>
      </x:c>
      <x:c r="B28" s="30" t="d">
        <x:v>2026-11-23T00:00:00.000Z</x:v>
      </x:c>
      <x:c r="C28" s="29" t="str">
        <x:v>Distribución</x:v>
      </x:c>
      <x:c r="D28" s="29" t="str">
        <x:v>Publicar Short 03 si está revisado</x:v>
      </x:c>
      <x:c r="E28" s="29" t="str">
        <x:v>YouTube / Pinterest</x:v>
      </x:c>
      <x:c r="F28" s="29" t="str">
        <x:v>Usar campaña short_03</x:v>
      </x:c>
    </x:row>
    <x:row r="29" ht="36" customHeight="1">
      <x:c r="A29" s="29" t="n">
        <x:v>23</x:v>
      </x:c>
      <x:c r="B29" s="30" t="d">
        <x:v>2026-11-24T00:00:00.000Z</x:v>
      </x:c>
      <x:c r="C29" s="29" t="str">
        <x:v>Medición</x:v>
      </x:c>
      <x:c r="D29" s="29" t="str">
        <x:v>Comparar fuentes / páginas de entrada consentidas</x:v>
      </x:c>
      <x:c r="E29" s="29" t="str">
        <x:v>GA4</x:v>
      </x:c>
      <x:c r="F29" s="29" t="str">
        <x:v>No sumar usuarios y sesiones</x:v>
      </x:c>
    </x:row>
    <x:row r="30" ht="36" customHeight="1">
      <x:c r="A30" s="29" t="n">
        <x:v>24</x:v>
      </x:c>
      <x:c r="B30" s="30" t="d">
        <x:v>2026-11-25T00:00:00.000Z</x:v>
      </x:c>
      <x:c r="C30" s="29" t="str">
        <x:v>SEO</x:v>
      </x:c>
      <x:c r="D30" s="29" t="str">
        <x:v>Revisar canonical y sitemap en Bing / GSC</x:v>
      </x:c>
      <x:c r="E30" s="29" t="str">
        <x:v>Search</x:v>
      </x:c>
      <x:c r="F30" s="29" t="str">
        <x:v>No repetir IndexNow para páginas sin cambios</x:v>
      </x:c>
    </x:row>
    <x:row r="31" ht="36" customHeight="1">
      <x:c r="A31" s="29" t="n">
        <x:v>25</x:v>
      </x:c>
      <x:c r="B31" s="30" t="d">
        <x:v>2026-11-26T00:00:00.000Z</x:v>
      </x:c>
      <x:c r="C31" s="29" t="str">
        <x:v>Investigación</x:v>
      </x:c>
      <x:c r="D31" s="29" t="str">
        <x:v>Revisar Trends US con los mismos filtros</x:v>
      </x:c>
      <x:c r="E31" s="29" t="str">
        <x:v>Trends</x:v>
      </x:c>
      <x:c r="F31" s="29" t="str">
        <x:v>Registrar fecha y ventana; no inventar volumen</x:v>
      </x:c>
    </x:row>
    <x:row r="32" ht="36" customHeight="1">
      <x:c r="A32" s="29" t="n">
        <x:v>26</x:v>
      </x:c>
      <x:c r="B32" s="30" t="d">
        <x:v>2026-11-27T00:00:00.000Z</x:v>
      </x:c>
      <x:c r="C32" s="29" t="str">
        <x:v>Conversión</x:v>
      </x:c>
      <x:c r="D32" s="29" t="str">
        <x:v>Revisar qué guías generan clics Amazon</x:v>
      </x:c>
      <x:c r="E32" s="29" t="str">
        <x:v>GA4 / Amazon</x:v>
      </x:c>
      <x:c r="F32" s="29" t="str">
        <x:v>No atribuir pedidos a un usuario individual</x:v>
      </x:c>
    </x:row>
    <x:row r="33" ht="36" customHeight="1">
      <x:c r="A33" s="29" t="n">
        <x:v>27</x:v>
      </x:c>
      <x:c r="B33" s="30" t="d">
        <x:v>2026-11-28T00:00:00.000Z</x:v>
      </x:c>
      <x:c r="C33" s="29" t="str">
        <x:v>Calidad</x:v>
      </x:c>
      <x:c r="D33" s="29" t="str">
        <x:v>Volver a comprobar rutas y límites de compatibilidad prioritarios</x:v>
      </x:c>
      <x:c r="E33" s="29" t="str">
        <x:v>Fabricantes</x:v>
      </x:c>
      <x:c r="F33" s="29" t="str">
        <x:v>Cambiar contenido solo con evidencia nueva</x:v>
      </x:c>
    </x:row>
    <x:row r="34" ht="36" customHeight="1">
      <x:c r="A34" s="29" t="n">
        <x:v>28</x:v>
      </x:c>
      <x:c r="B34" s="30" t="d">
        <x:v>2026-11-29T00:00:00.000Z</x:v>
      </x:c>
      <x:c r="C34" s="29" t="str">
        <x:v>Revisión</x:v>
      </x:c>
      <x:c r="D34" s="29" t="str">
        <x:v>Registrar semana 4 y ajustes de comisiones</x:v>
      </x:c>
      <x:c r="E34" s="29" t="str">
        <x:v>Tracker</x:v>
      </x:c>
      <x:c r="F34" s="29" t="str">
        <x:v>Conservar devoluciones y ajustes de Amazon</x:v>
      </x:c>
    </x:row>
    <x:row r="35" ht="36" customHeight="1">
      <x:c r="A35" s="29" t="n">
        <x:v>29</x:v>
      </x:c>
      <x:c r="B35" s="30" t="d">
        <x:v>2026-11-30T00:00:00.000Z</x:v>
      </x:c>
      <x:c r="C35" s="29" t="str">
        <x:v>Decisión</x:v>
      </x:c>
      <x:c r="D35" s="29" t="str">
        <x:v>Elegir 2 páginas para siguiente iteración según datos</x:v>
      </x:c>
      <x:c r="E35" s="29" t="str">
        <x:v>GSC / GA4</x:v>
      </x:c>
      <x:c r="F35" s="29" t="str">
        <x:v>No decidir solo por posición o una visita</x:v>
      </x:c>
    </x:row>
    <x:row r="36" ht="36" customHeight="1">
      <x:c r="A36" s="29" t="n">
        <x:v>30</x:v>
      </x:c>
      <x:c r="B36" s="30" t="d">
        <x:v>2026-12-01T00:00:00.000Z</x:v>
      </x:c>
      <x:c r="C36" s="29" t="str">
        <x:v>Cierre</x:v>
      </x:c>
      <x:c r="D36" s="29" t="str">
        <x:v>Consolidar 30 días y decidir el siguiente ciclo</x:v>
      </x:c>
      <x:c r="E36" s="29" t="str">
        <x:v>Tracker</x:v>
      </x:c>
      <x:c r="F36" s="29" t="str">
        <x:v>Sin objetivos inventados ni promesa de ingresos</x:v>
      </x:c>
    </x:row>
  </x:sheetData>
  <x:pageMargins left="0.7" right="0.7" top="0.75" bottom="0.75" header="0.3" footer="0.3"/>
</x:worksheet>
</file>